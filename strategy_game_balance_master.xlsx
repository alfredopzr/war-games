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tats" sheetId="1" state="visible" r:id="rId1"/>
    <sheet xmlns:r="http://schemas.openxmlformats.org/officeDocument/2006/relationships" name="TypeMatrix" sheetId="2" state="visible" r:id="rId2"/>
    <sheet xmlns:r="http://schemas.openxmlformats.org/officeDocument/2006/relationships" name="DamageMatrix" sheetId="3" state="visible" r:id="rId3"/>
    <sheet xmlns:r="http://schemas.openxmlformats.org/officeDocument/2006/relationships" name="HitsToKill" sheetId="4" state="visible" r:id="rId4"/>
    <sheet xmlns:r="http://schemas.openxmlformats.org/officeDocument/2006/relationships" name="Initiative" sheetId="5" state="visible" r:id="rId5"/>
    <sheet xmlns:r="http://schemas.openxmlformats.org/officeDocument/2006/relationships" name="Terrain" sheetId="6" state="visible" r:id="rId6"/>
    <sheet xmlns:r="http://schemas.openxmlformats.org/officeDocument/2006/relationships" name="RNGModel" sheetId="7" state="visible" r:id="rId7"/>
    <sheet xmlns:r="http://schemas.openxmlformats.org/officeDocument/2006/relationships" name="MatchAnaly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Unit</t>
        </is>
      </c>
      <c r="B1" s="1" t="inlineStr">
        <is>
          <t>HP</t>
        </is>
      </c>
      <c r="C1" s="1" t="inlineStr">
        <is>
          <t>ATK</t>
        </is>
      </c>
      <c r="D1" s="1" t="inlineStr">
        <is>
          <t>DEF</t>
        </is>
      </c>
      <c r="E1" s="1" t="inlineStr">
        <is>
          <t>Cost</t>
        </is>
      </c>
      <c r="F1" s="1" t="inlineStr">
        <is>
          <t>ResponseTime</t>
        </is>
      </c>
    </row>
    <row r="2">
      <c r="A2" t="inlineStr">
        <is>
          <t>Infantry</t>
        </is>
      </c>
      <c r="B2" t="n">
        <v>30</v>
      </c>
      <c r="C2" t="n">
        <v>10</v>
      </c>
      <c r="D2" t="n">
        <v>2</v>
      </c>
      <c r="E2" t="n">
        <v>100</v>
      </c>
      <c r="F2" t="n">
        <v>2</v>
      </c>
    </row>
    <row r="3">
      <c r="A3" t="inlineStr">
        <is>
          <t>Tank</t>
        </is>
      </c>
      <c r="B3" t="n">
        <v>40</v>
      </c>
      <c r="C3" t="n">
        <v>13</v>
      </c>
      <c r="D3" t="n">
        <v>2</v>
      </c>
      <c r="E3" t="n">
        <v>250</v>
      </c>
      <c r="F3" t="n">
        <v>3</v>
      </c>
    </row>
    <row r="4">
      <c r="A4" t="inlineStr">
        <is>
          <t>Artillery</t>
        </is>
      </c>
      <c r="B4" t="n">
        <v>20</v>
      </c>
      <c r="C4" t="n">
        <v>8</v>
      </c>
      <c r="D4" t="n">
        <v>1</v>
      </c>
      <c r="E4" t="n">
        <v>200</v>
      </c>
      <c r="F4" t="n">
        <v>4</v>
      </c>
    </row>
    <row r="5">
      <c r="A5" t="inlineStr">
        <is>
          <t>Recon</t>
        </is>
      </c>
      <c r="B5" t="n">
        <v>25</v>
      </c>
      <c r="C5" t="n">
        <v>9</v>
      </c>
      <c r="D5" t="n">
        <v>1</v>
      </c>
      <c r="E5" t="n">
        <v>100</v>
      </c>
      <c r="F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ATK↓ DEF→</t>
        </is>
      </c>
      <c r="B1" s="1" t="inlineStr">
        <is>
          <t>Infantry</t>
        </is>
      </c>
      <c r="C1" s="1" t="inlineStr">
        <is>
          <t>Tank</t>
        </is>
      </c>
      <c r="D1" s="1" t="inlineStr">
        <is>
          <t>Artillery</t>
        </is>
      </c>
      <c r="E1" s="1" t="inlineStr">
        <is>
          <t>Recon</t>
        </is>
      </c>
    </row>
    <row r="2">
      <c r="A2" t="inlineStr">
        <is>
          <t>Infantry</t>
        </is>
      </c>
      <c r="B2" t="n">
        <v>1</v>
      </c>
      <c r="C2" t="n">
        <v>0.6</v>
      </c>
      <c r="D2" t="n">
        <v>1</v>
      </c>
      <c r="E2" t="n">
        <v>2</v>
      </c>
    </row>
    <row r="3">
      <c r="A3" t="inlineStr">
        <is>
          <t>Tank</t>
        </is>
      </c>
      <c r="B3" t="n">
        <v>2</v>
      </c>
      <c r="C3" t="n">
        <v>1</v>
      </c>
      <c r="D3" t="n">
        <v>0.6</v>
      </c>
      <c r="E3" t="n">
        <v>1</v>
      </c>
    </row>
    <row r="4">
      <c r="A4" t="inlineStr">
        <is>
          <t>Artillery</t>
        </is>
      </c>
      <c r="B4" t="n">
        <v>1</v>
      </c>
      <c r="C4" t="n">
        <v>2</v>
      </c>
      <c r="D4" t="n">
        <v>1</v>
      </c>
      <c r="E4" t="n">
        <v>1</v>
      </c>
    </row>
    <row r="5">
      <c r="A5" t="inlineStr">
        <is>
          <t>Recon</t>
        </is>
      </c>
      <c r="B5" t="n">
        <v>1</v>
      </c>
      <c r="C5" t="n">
        <v>1</v>
      </c>
      <c r="D5" t="n">
        <v>2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ATK↓ DEF→</t>
        </is>
      </c>
      <c r="B1" s="1" t="inlineStr">
        <is>
          <t>Infantry</t>
        </is>
      </c>
      <c r="C1" s="1" t="inlineStr">
        <is>
          <t>Tank</t>
        </is>
      </c>
      <c r="D1" s="1" t="inlineStr">
        <is>
          <t>Artillery</t>
        </is>
      </c>
      <c r="E1" s="1" t="inlineStr">
        <is>
          <t>Recon</t>
        </is>
      </c>
    </row>
    <row r="2">
      <c r="A2" t="inlineStr">
        <is>
          <t>Infantry</t>
        </is>
      </c>
      <c r="B2">
        <f>MAX(1,(UnitStats!C2*TypeMatrix!B2)-UnitStats!D2)</f>
        <v/>
      </c>
      <c r="C2">
        <f>MAX(1,(UnitStats!C2*TypeMatrix!C2)-UnitStats!D3)</f>
        <v/>
      </c>
      <c r="D2">
        <f>MAX(1,(UnitStats!C2*TypeMatrix!D2)-UnitStats!D4)</f>
        <v/>
      </c>
      <c r="E2">
        <f>MAX(1,(UnitStats!C2*TypeMatrix!E2)-UnitStats!D5)</f>
        <v/>
      </c>
    </row>
    <row r="3">
      <c r="A3" t="inlineStr">
        <is>
          <t>Tank</t>
        </is>
      </c>
      <c r="B3">
        <f>MAX(1,(UnitStats!C3*TypeMatrix!B3)-UnitStats!D2)</f>
        <v/>
      </c>
      <c r="C3">
        <f>MAX(1,(UnitStats!C3*TypeMatrix!C3)-UnitStats!D3)</f>
        <v/>
      </c>
      <c r="D3">
        <f>MAX(1,(UnitStats!C3*TypeMatrix!D3)-UnitStats!D4)</f>
        <v/>
      </c>
      <c r="E3">
        <f>MAX(1,(UnitStats!C3*TypeMatrix!E3)-UnitStats!D5)</f>
        <v/>
      </c>
    </row>
    <row r="4">
      <c r="A4" t="inlineStr">
        <is>
          <t>Artillery</t>
        </is>
      </c>
      <c r="B4">
        <f>MAX(1,(UnitStats!C4*TypeMatrix!B4)-UnitStats!D2)</f>
        <v/>
      </c>
      <c r="C4">
        <f>MAX(1,(UnitStats!C4*TypeMatrix!C4)-UnitStats!D3)</f>
        <v/>
      </c>
      <c r="D4">
        <f>MAX(1,(UnitStats!C4*TypeMatrix!D4)-UnitStats!D4)</f>
        <v/>
      </c>
      <c r="E4">
        <f>MAX(1,(UnitStats!C4*TypeMatrix!E4)-UnitStats!D5)</f>
        <v/>
      </c>
    </row>
    <row r="5">
      <c r="A5" t="inlineStr">
        <is>
          <t>Recon</t>
        </is>
      </c>
      <c r="B5">
        <f>MAX(1,(UnitStats!C5*TypeMatrix!B5)-UnitStats!D2)</f>
        <v/>
      </c>
      <c r="C5">
        <f>MAX(1,(UnitStats!C5*TypeMatrix!C5)-UnitStats!D3)</f>
        <v/>
      </c>
      <c r="D5">
        <f>MAX(1,(UnitStats!C5*TypeMatrix!D5)-UnitStats!D4)</f>
        <v/>
      </c>
      <c r="E5">
        <f>MAX(1,(UnitStats!C5*TypeMatrix!E5)-UnitStats!D5)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ATK↓ DEF→</t>
        </is>
      </c>
      <c r="B1" s="1" t="inlineStr">
        <is>
          <t>Infantry</t>
        </is>
      </c>
      <c r="C1" s="1" t="inlineStr">
        <is>
          <t>Tank</t>
        </is>
      </c>
      <c r="D1" s="1" t="inlineStr">
        <is>
          <t>Artillery</t>
        </is>
      </c>
      <c r="E1" s="1" t="inlineStr">
        <is>
          <t>Recon</t>
        </is>
      </c>
    </row>
    <row r="2">
      <c r="A2" t="inlineStr">
        <is>
          <t>Infantry</t>
        </is>
      </c>
      <c r="B2">
        <f>CEILING(UnitStats!B2/DamageMatrix!B2,1)</f>
        <v/>
      </c>
      <c r="C2">
        <f>CEILING(UnitStats!B3/DamageMatrix!C2,1)</f>
        <v/>
      </c>
      <c r="D2">
        <f>CEILING(UnitStats!B4/DamageMatrix!D2,1)</f>
        <v/>
      </c>
      <c r="E2">
        <f>CEILING(UnitStats!B5/DamageMatrix!E2,1)</f>
        <v/>
      </c>
    </row>
    <row r="3">
      <c r="A3" t="inlineStr">
        <is>
          <t>Tank</t>
        </is>
      </c>
      <c r="B3">
        <f>CEILING(UnitStats!B2/DamageMatrix!B3,1)</f>
        <v/>
      </c>
      <c r="C3">
        <f>CEILING(UnitStats!B3/DamageMatrix!C3,1)</f>
        <v/>
      </c>
      <c r="D3">
        <f>CEILING(UnitStats!B4/DamageMatrix!D3,1)</f>
        <v/>
      </c>
      <c r="E3">
        <f>CEILING(UnitStats!B5/DamageMatrix!E3,1)</f>
        <v/>
      </c>
    </row>
    <row r="4">
      <c r="A4" t="inlineStr">
        <is>
          <t>Artillery</t>
        </is>
      </c>
      <c r="B4">
        <f>CEILING(UnitStats!B2/DamageMatrix!B4,1)</f>
        <v/>
      </c>
      <c r="C4">
        <f>CEILING(UnitStats!B3/DamageMatrix!C4,1)</f>
        <v/>
      </c>
      <c r="D4">
        <f>CEILING(UnitStats!B4/DamageMatrix!D4,1)</f>
        <v/>
      </c>
      <c r="E4">
        <f>CEILING(UnitStats!B5/DamageMatrix!E4,1)</f>
        <v/>
      </c>
    </row>
    <row r="5">
      <c r="A5" t="inlineStr">
        <is>
          <t>Recon</t>
        </is>
      </c>
      <c r="B5">
        <f>CEILING(UnitStats!B2/DamageMatrix!B5,1)</f>
        <v/>
      </c>
      <c r="C5">
        <f>CEILING(UnitStats!B3/DamageMatrix!C5,1)</f>
        <v/>
      </c>
      <c r="D5">
        <f>CEILING(UnitStats!B4/DamageMatrix!D5,1)</f>
        <v/>
      </c>
      <c r="E5">
        <f>CEILING(UnitStats!B5/DamageMatrix!E5,1)</f>
        <v/>
      </c>
    </row>
  </sheetData>
  <conditionalFormatting sqref="B2:E5">
    <cfRule type="colorScale" priority="1">
      <colorScale>
        <cfvo type="num" val="2"/>
        <cfvo type="num" val="4"/>
        <cfvo type="num" val="8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Unit</t>
        </is>
      </c>
      <c r="B1" s="1" t="inlineStr">
        <is>
          <t>BaseResponseTime</t>
        </is>
      </c>
    </row>
    <row r="2">
      <c r="A2" t="inlineStr">
        <is>
          <t>Infantry</t>
        </is>
      </c>
      <c r="B2">
        <f>UnitStats!F2</f>
        <v/>
      </c>
    </row>
    <row r="3">
      <c r="A3" t="inlineStr">
        <is>
          <t>Tank</t>
        </is>
      </c>
      <c r="B3">
        <f>UnitStats!F3</f>
        <v/>
      </c>
    </row>
    <row r="4">
      <c r="A4" t="inlineStr">
        <is>
          <t>Artillery</t>
        </is>
      </c>
      <c r="B4">
        <f>UnitStats!F4</f>
        <v/>
      </c>
    </row>
    <row r="5">
      <c r="A5" t="inlineStr">
        <is>
          <t>Recon</t>
        </is>
      </c>
      <c r="B5">
        <f>UnitStats!F5</f>
        <v/>
      </c>
    </row>
    <row r="7">
      <c r="A7" t="inlineStr">
        <is>
          <t>Lower response time fires first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Terrain</t>
        </is>
      </c>
      <c r="B1" s="1" t="inlineStr">
        <is>
          <t>DefenseReduction</t>
        </is>
      </c>
    </row>
    <row r="2">
      <c r="A2" t="inlineStr">
        <is>
          <t>Plains</t>
        </is>
      </c>
      <c r="B2" t="n">
        <v>0</v>
      </c>
    </row>
    <row r="3">
      <c r="A3" t="inlineStr">
        <is>
          <t>Forest</t>
        </is>
      </c>
      <c r="B3" t="n">
        <v>0.15</v>
      </c>
    </row>
    <row r="4">
      <c r="A4" t="inlineStr">
        <is>
          <t>City</t>
        </is>
      </c>
      <c r="B4" t="n">
        <v>0.25</v>
      </c>
    </row>
    <row r="5">
      <c r="A5" t="inlineStr">
        <is>
          <t>Mountain</t>
        </is>
      </c>
      <c r="B5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MinMultiplier</t>
        </is>
      </c>
      <c r="B2" t="n">
        <v>0.85</v>
      </c>
    </row>
    <row r="3">
      <c r="A3" t="inlineStr">
        <is>
          <t>MaxMultiplier</t>
        </is>
      </c>
      <c r="B3" t="n">
        <v>1.15</v>
      </c>
    </row>
    <row r="4">
      <c r="A4" t="inlineStr">
        <is>
          <t>Description</t>
        </is>
      </c>
      <c r="B4" t="inlineStr">
        <is>
          <t>Damage randomization 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MatchID</t>
        </is>
      </c>
      <c r="B1" s="1" t="inlineStr">
        <is>
          <t>AvgHitsToKill</t>
        </is>
      </c>
      <c r="C1" s="1" t="inlineStr">
        <is>
          <t>CounterKills</t>
        </is>
      </c>
      <c r="D1" s="1" t="inlineStr">
        <is>
          <t>NeutralKills</t>
        </is>
      </c>
      <c r="E1" s="1" t="inlineStr">
        <is>
          <t>DisadvantageKills</t>
        </is>
      </c>
      <c r="F1" s="1" t="inlineStr">
        <is>
          <t>RNGTieRate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2026-03-04T12:53:09Z</dcterms:created>
  <dcterms:modified xmlns:dcterms="http://purl.org/dc/terms/" xmlns:xsi="http://www.w3.org/2001/XMLSchema-instance" xsi:type="dcterms:W3CDTF">2026-03-04T12:53:09Z</dcterms:modified>
</cp:coreProperties>
</file>